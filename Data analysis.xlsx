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 Analysis\"/>
    </mc:Choice>
  </mc:AlternateContent>
  <xr:revisionPtr revIDLastSave="0" documentId="8_{9C9258B2-9F7F-411A-ABD0-55A0B61D0268}" xr6:coauthVersionLast="47" xr6:coauthVersionMax="47" xr10:uidLastSave="{00000000-0000-0000-0000-000000000000}"/>
  <bookViews>
    <workbookView xWindow="-120" yWindow="-120" windowWidth="29040" windowHeight="15240" activeTab="1" xr2:uid="{69B4744E-A448-4561-96AD-D369D60AEABD}"/>
  </bookViews>
  <sheets>
    <sheet name="Sheet1" sheetId="1" r:id="rId1"/>
    <sheet name="Sheet2" sheetId="2" r:id="rId2"/>
  </sheets>
  <definedNames>
    <definedName name="_xlnm._FilterDatabase" localSheetId="1" hidden="1">Sheet2!$I$1:$I$30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1" i="2" l="1"/>
  <c r="N30" i="2"/>
  <c r="N29" i="2"/>
  <c r="N19" i="2"/>
  <c r="N6" i="2"/>
  <c r="N18" i="2"/>
  <c r="K9" i="2"/>
  <c r="K11" i="2"/>
  <c r="L11" i="2" s="1" a="1"/>
  <c r="K6" i="2"/>
  <c r="L6" i="2" s="1" a="1"/>
  <c r="K8" i="2"/>
  <c r="L8" i="2" s="1" a="1"/>
  <c r="K3" i="2"/>
  <c r="K5" i="2"/>
  <c r="L5" i="2" s="1" a="1"/>
  <c r="K2" i="2"/>
  <c r="K7" i="2"/>
  <c r="L7" i="2" s="1" a="1"/>
  <c r="K4" i="2"/>
  <c r="K14" i="2"/>
  <c r="L14" i="2" s="1" a="1"/>
  <c r="K10" i="2"/>
  <c r="L10" i="2" s="1" a="1"/>
  <c r="K16" i="2"/>
  <c r="L16" i="2" s="1" a="1"/>
  <c r="K13" i="2"/>
  <c r="L13" i="2" s="1" a="1"/>
  <c r="K12" i="2"/>
  <c r="L12" i="2" s="1" a="1"/>
  <c r="K15" i="2"/>
  <c r="L15" i="2" s="1" a="1"/>
  <c r="N8" i="2"/>
  <c r="N7" i="2"/>
  <c r="N5" i="2"/>
  <c r="N4" i="2"/>
  <c r="N3" i="2"/>
  <c r="N2" i="2"/>
  <c r="N1" i="2"/>
  <c r="D6" i="1"/>
  <c r="D7" i="1"/>
  <c r="D8" i="1"/>
  <c r="D9" i="1"/>
  <c r="D10" i="1"/>
  <c r="D11" i="1"/>
  <c r="D5" i="1"/>
  <c r="L3" i="2" l="1" a="1"/>
  <c r="N22" i="2"/>
  <c r="N15" i="2"/>
  <c r="L2" i="2" a="1"/>
  <c r="N24" i="2"/>
  <c r="N23" i="2"/>
  <c r="P10" i="2"/>
  <c r="N17" i="2"/>
  <c r="L4" i="2" a="1"/>
  <c r="N16" i="2"/>
  <c r="L9" i="2" a="1"/>
  <c r="N20" i="2"/>
  <c r="N14" i="2"/>
  <c r="N21" i="2"/>
  <c r="Q10" i="2"/>
  <c r="O11" i="2"/>
  <c r="O10" i="2"/>
  <c r="N11" i="2"/>
  <c r="N10" i="2"/>
  <c r="N9" i="2"/>
  <c r="K17" i="2"/>
  <c r="N13" i="2" l="1"/>
  <c r="N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<sst xmlns="http://schemas.openxmlformats.org/spreadsheetml/2006/main" count="144" uniqueCount="85">
  <si>
    <t>Student</t>
  </si>
  <si>
    <t>Score</t>
  </si>
  <si>
    <t>Status</t>
  </si>
  <si>
    <t>Alex</t>
  </si>
  <si>
    <t>Bruno</t>
  </si>
  <si>
    <t>Chloe</t>
  </si>
  <si>
    <t>Diana</t>
  </si>
  <si>
    <t>Eli</t>
  </si>
  <si>
    <t>Farah</t>
  </si>
  <si>
    <t>Grace</t>
  </si>
  <si>
    <t>Order ID</t>
  </si>
  <si>
    <t>Date</t>
  </si>
  <si>
    <t>Salesperson</t>
  </si>
  <si>
    <t>Region</t>
  </si>
  <si>
    <t>Product</t>
  </si>
  <si>
    <t>Quantity</t>
  </si>
  <si>
    <t>Unit Price</t>
  </si>
  <si>
    <t>Payment</t>
  </si>
  <si>
    <t>Customer Rating</t>
  </si>
  <si>
    <t>ORD105</t>
  </si>
  <si>
    <t>Mary</t>
  </si>
  <si>
    <t>West</t>
  </si>
  <si>
    <t>Laptop</t>
  </si>
  <si>
    <t>M-Pesa</t>
  </si>
  <si>
    <t>Completed</t>
  </si>
  <si>
    <t>ORD101</t>
  </si>
  <si>
    <t>John</t>
  </si>
  <si>
    <t>East</t>
  </si>
  <si>
    <t>Mouse</t>
  </si>
  <si>
    <t>Cash</t>
  </si>
  <si>
    <t>ORD110</t>
  </si>
  <si>
    <t>Peter</t>
  </si>
  <si>
    <t>North</t>
  </si>
  <si>
    <t>Keyboard</t>
  </si>
  <si>
    <t>Pending</t>
  </si>
  <si>
    <t>ORD103</t>
  </si>
  <si>
    <t>Jane</t>
  </si>
  <si>
    <t>South</t>
  </si>
  <si>
    <t>Monitor</t>
  </si>
  <si>
    <t>Card</t>
  </si>
  <si>
    <t>ORD108</t>
  </si>
  <si>
    <t>Cancelled</t>
  </si>
  <si>
    <t>ORD102</t>
  </si>
  <si>
    <t>ORD115</t>
  </si>
  <si>
    <t>ORD107</t>
  </si>
  <si>
    <t>ORD104</t>
  </si>
  <si>
    <t>ORD112</t>
  </si>
  <si>
    <t>ORD109</t>
  </si>
  <si>
    <t>ORD106</t>
  </si>
  <si>
    <t>ORD111</t>
  </si>
  <si>
    <t>ORD114</t>
  </si>
  <si>
    <t>ORD113</t>
  </si>
  <si>
    <t>how many order</t>
  </si>
  <si>
    <t>total quantity</t>
  </si>
  <si>
    <t>average customer rating</t>
  </si>
  <si>
    <r>
      <t xml:space="preserve">What is the </t>
    </r>
    <r>
      <rPr>
        <b/>
        <sz val="11"/>
        <color theme="1"/>
        <rFont val="Aptos Narrow"/>
        <family val="2"/>
        <scheme val="minor"/>
      </rPr>
      <t>highest quantity sold in a single order</t>
    </r>
    <r>
      <rPr>
        <sz val="11"/>
        <color theme="1"/>
        <rFont val="Aptos Narrow"/>
        <family val="2"/>
        <scheme val="minor"/>
      </rPr>
      <t>?</t>
    </r>
  </si>
  <si>
    <r>
      <t xml:space="preserve">What is the </t>
    </r>
    <r>
      <rPr>
        <b/>
        <sz val="11"/>
        <color theme="1"/>
        <rFont val="Aptos Narrow"/>
        <family val="2"/>
        <scheme val="minor"/>
      </rPr>
      <t>lowest unit price</t>
    </r>
    <r>
      <rPr>
        <sz val="11"/>
        <color theme="1"/>
        <rFont val="Aptos Narrow"/>
        <family val="2"/>
        <scheme val="minor"/>
      </rPr>
      <t>?</t>
    </r>
  </si>
  <si>
    <r>
      <t xml:space="preserve">How many orders were 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>?</t>
    </r>
  </si>
  <si>
    <r>
      <t xml:space="preserve">How many orders were 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>?</t>
    </r>
  </si>
  <si>
    <r>
      <t xml:space="preserve">How many orders were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>?</t>
    </r>
  </si>
  <si>
    <t>Total Sales</t>
  </si>
  <si>
    <r>
      <t xml:space="preserve">What is the </t>
    </r>
    <r>
      <rPr>
        <b/>
        <sz val="11"/>
        <color theme="1"/>
        <rFont val="Aptos Narrow"/>
        <family val="2"/>
        <scheme val="minor"/>
      </rPr>
      <t>total sales value</t>
    </r>
    <r>
      <rPr>
        <sz val="11"/>
        <color theme="1"/>
        <rFont val="Aptos Narrow"/>
        <family val="2"/>
        <scheme val="minor"/>
      </rPr>
      <t xml:space="preserve"> of all orders?</t>
    </r>
  </si>
  <si>
    <r>
      <t xml:space="preserve">Which order has the </t>
    </r>
    <r>
      <rPr>
        <b/>
        <sz val="11"/>
        <color theme="1"/>
        <rFont val="Aptos Narrow"/>
        <family val="2"/>
        <scheme val="minor"/>
      </rPr>
      <t>highest total sales value</t>
    </r>
    <r>
      <rPr>
        <sz val="11"/>
        <color theme="1"/>
        <rFont val="Aptos Narrow"/>
        <family val="2"/>
        <scheme val="minor"/>
      </rPr>
      <t>?</t>
    </r>
  </si>
  <si>
    <r>
      <t xml:space="preserve">Which order has the </t>
    </r>
    <r>
      <rPr>
        <b/>
        <sz val="11"/>
        <color theme="1"/>
        <rFont val="Aptos Narrow"/>
        <family val="2"/>
        <scheme val="minor"/>
      </rPr>
      <t>lowest total sales value</t>
    </r>
    <r>
      <rPr>
        <sz val="11"/>
        <color theme="1"/>
        <rFont val="Aptos Narrow"/>
        <family val="2"/>
        <scheme val="minor"/>
      </rPr>
      <t>?</t>
    </r>
  </si>
  <si>
    <t>Sales Category</t>
  </si>
  <si>
    <r>
      <t xml:space="preserve">How many orders are classified as </t>
    </r>
    <r>
      <rPr>
        <b/>
        <sz val="11"/>
        <color theme="1"/>
        <rFont val="Aptos Narrow"/>
        <family val="2"/>
        <scheme val="minor"/>
      </rPr>
      <t>Excellent</t>
    </r>
    <r>
      <rPr>
        <sz val="11"/>
        <color theme="1"/>
        <rFont val="Aptos Narrow"/>
        <family val="2"/>
        <scheme val="minor"/>
      </rPr>
      <t>?</t>
    </r>
  </si>
  <si>
    <r>
      <t xml:space="preserve">How many orders are classified as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>?</t>
    </r>
  </si>
  <si>
    <t>What are the total sales made by John?</t>
  </si>
  <si>
    <r>
      <t xml:space="preserve">What are the total sales made by </t>
    </r>
    <r>
      <rPr>
        <b/>
        <sz val="11"/>
        <color theme="1"/>
        <rFont val="Aptos Narrow"/>
        <family val="2"/>
        <scheme val="minor"/>
      </rPr>
      <t>Mary</t>
    </r>
    <r>
      <rPr>
        <sz val="11"/>
        <color theme="1"/>
        <rFont val="Aptos Narrow"/>
        <family val="2"/>
        <scheme val="minor"/>
      </rPr>
      <t>?</t>
    </r>
  </si>
  <si>
    <r>
      <t xml:space="preserve">What are the total sales made by </t>
    </r>
    <r>
      <rPr>
        <b/>
        <sz val="11"/>
        <color theme="1"/>
        <rFont val="Aptos Narrow"/>
        <family val="2"/>
        <scheme val="minor"/>
      </rPr>
      <t>Jane</t>
    </r>
    <r>
      <rPr>
        <sz val="11"/>
        <color theme="1"/>
        <rFont val="Aptos Narrow"/>
        <family val="2"/>
        <scheme val="minor"/>
      </rPr>
      <t>?</t>
    </r>
  </si>
  <si>
    <r>
      <t xml:space="preserve">What are the total sales made by </t>
    </r>
    <r>
      <rPr>
        <b/>
        <sz val="11"/>
        <color theme="1"/>
        <rFont val="Aptos Narrow"/>
        <family val="2"/>
        <scheme val="minor"/>
      </rPr>
      <t>Peter</t>
    </r>
    <r>
      <rPr>
        <sz val="11"/>
        <color theme="1"/>
        <rFont val="Aptos Narrow"/>
        <family val="2"/>
        <scheme val="minor"/>
      </rPr>
      <t>?</t>
    </r>
  </si>
  <si>
    <r>
      <t xml:space="preserve">How many orders did </t>
    </r>
    <r>
      <rPr>
        <b/>
        <sz val="11"/>
        <color theme="1"/>
        <rFont val="Aptos Narrow"/>
        <family val="2"/>
        <scheme val="minor"/>
      </rPr>
      <t>John</t>
    </r>
    <r>
      <rPr>
        <sz val="11"/>
        <color theme="1"/>
        <rFont val="Aptos Narrow"/>
        <family val="2"/>
        <scheme val="minor"/>
      </rPr>
      <t xml:space="preserve"> make?</t>
    </r>
  </si>
  <si>
    <r>
      <t xml:space="preserve">How many orders were paid using </t>
    </r>
    <r>
      <rPr>
        <b/>
        <sz val="11"/>
        <color theme="1"/>
        <rFont val="Aptos Narrow"/>
        <family val="2"/>
        <scheme val="minor"/>
      </rPr>
      <t>M-Pesa</t>
    </r>
    <r>
      <rPr>
        <sz val="11"/>
        <color theme="1"/>
        <rFont val="Aptos Narrow"/>
        <family val="2"/>
        <scheme val="minor"/>
      </rPr>
      <t>?</t>
    </r>
  </si>
  <si>
    <r>
      <t xml:space="preserve">What are the total sales for </t>
    </r>
    <r>
      <rPr>
        <b/>
        <sz val="11"/>
        <color theme="1"/>
        <rFont val="Aptos Narrow"/>
        <family val="2"/>
        <scheme val="minor"/>
      </rPr>
      <t>John in the East region</t>
    </r>
    <r>
      <rPr>
        <sz val="11"/>
        <color theme="1"/>
        <rFont val="Aptos Narrow"/>
        <family val="2"/>
        <scheme val="minor"/>
      </rPr>
      <t>?</t>
    </r>
  </si>
  <si>
    <r>
      <t xml:space="preserve">How many 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 xml:space="preserve"> orders were made by </t>
    </r>
    <r>
      <rPr>
        <b/>
        <sz val="11"/>
        <color theme="1"/>
        <rFont val="Aptos Narrow"/>
        <family val="2"/>
        <scheme val="minor"/>
      </rPr>
      <t>John</t>
    </r>
    <r>
      <rPr>
        <sz val="11"/>
        <color theme="1"/>
        <rFont val="Aptos Narrow"/>
        <family val="2"/>
        <scheme val="minor"/>
      </rPr>
      <t>?</t>
    </r>
  </si>
  <si>
    <r>
      <t xml:space="preserve">How many 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 xml:space="preserve"> orders were paid using </t>
    </r>
    <r>
      <rPr>
        <b/>
        <sz val="11"/>
        <color theme="1"/>
        <rFont val="Aptos Narrow"/>
        <family val="2"/>
        <scheme val="minor"/>
      </rPr>
      <t>M-Pesa</t>
    </r>
    <r>
      <rPr>
        <sz val="11"/>
        <color theme="1"/>
        <rFont val="Aptos Narrow"/>
        <family val="2"/>
        <scheme val="minor"/>
      </rPr>
      <t>?</t>
    </r>
  </si>
  <si>
    <r>
      <t xml:space="preserve">What are the total sales for </t>
    </r>
    <r>
      <rPr>
        <b/>
        <sz val="11"/>
        <color theme="1"/>
        <rFont val="Aptos Narrow"/>
        <family val="2"/>
        <scheme val="minor"/>
      </rPr>
      <t>Laptop</t>
    </r>
    <r>
      <rPr>
        <sz val="11"/>
        <color theme="1"/>
        <rFont val="Aptos Narrow"/>
        <family val="2"/>
        <scheme val="minor"/>
      </rPr>
      <t xml:space="preserve"> orders?</t>
    </r>
  </si>
  <si>
    <r>
      <t xml:space="preserve">What are the total sales for </t>
    </r>
    <r>
      <rPr>
        <b/>
        <sz val="11"/>
        <color theme="1"/>
        <rFont val="Aptos Narrow"/>
        <family val="2"/>
        <scheme val="minor"/>
      </rPr>
      <t>Completed Laptop</t>
    </r>
    <r>
      <rPr>
        <sz val="11"/>
        <color theme="1"/>
        <rFont val="Aptos Narrow"/>
        <family val="2"/>
        <scheme val="minor"/>
      </rPr>
      <t xml:space="preserve"> orders?</t>
    </r>
  </si>
  <si>
    <t>Filter the data to show only:</t>
  </si>
  <si>
    <t>Completed orders: How many remain?</t>
  </si>
  <si>
    <t>Region = East:How many orders are there?</t>
  </si>
  <si>
    <t>Filter the data to show:Customer Rating = 5 Which salesperson has the most 5-star orders?</t>
  </si>
  <si>
    <r>
      <t xml:space="preserve">What percentage of orders were 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>?</t>
    </r>
  </si>
  <si>
    <r>
      <t xml:space="preserve">What percentage of orders were 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>?</t>
    </r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</si>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</sst>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3" fontId="2" fillId="0" borderId="0" xfId="1" applyFont="1" applyAlignment="1">
      <alignment horizontal="right" vertical="center" wrapText="1"/>
    </xf>
    <xf numFmtId="43" fontId="0" fillId="0" borderId="0" xfId="1" applyFont="1"/>
    <xf numFmtId="43" fontId="0" fillId="0" borderId="0" xfId="0" applyNumberFormat="1"/>
    <xf numFmtId="0" fontId="2" fillId="0" borderId="0" xfId="0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26B3-5A22-4FED-887E-1A1F6442019E}">
  <dimension ref="B4:D11"/>
  <sheetViews>
    <sheetView workbookViewId="0">
      <selection activeCell="D6" sqref="D6"/>
    </sheetView>
  </sheetViews>
  <sheetFormatPr defaultRowHeight="15" x14ac:dyDescent="0.25"/>
  <sheetData>
    <row r="4" spans="2:4" x14ac:dyDescent="0.25">
      <c r="B4" t="s">
        <v>0</v>
      </c>
      <c r="C4" t="s">
        <v>1</v>
      </c>
      <c r="D4" t="s">
        <v>2</v>
      </c>
    </row>
    <row r="5" spans="2:4" x14ac:dyDescent="0.25">
      <c r="B5" t="s">
        <v>3</v>
      </c>
      <c r="C5">
        <v>70</v>
      </c>
      <c r="D5" t="str">
        <f>IF(C5&gt;AVERAGE(C5:C11),"Above","Below")</f>
        <v>Below</v>
      </c>
    </row>
    <row r="6" spans="2:4" x14ac:dyDescent="0.25">
      <c r="B6" t="s">
        <v>4</v>
      </c>
      <c r="C6">
        <v>85</v>
      </c>
      <c r="D6" t="str">
        <f t="shared" ref="D6:D11" si="0">IF(C6&gt;AVERAGE(C6:C12),"Above","Below")</f>
        <v>Above</v>
      </c>
    </row>
    <row r="7" spans="2:4" x14ac:dyDescent="0.25">
      <c r="B7" t="s">
        <v>5</v>
      </c>
      <c r="C7">
        <v>90</v>
      </c>
      <c r="D7" t="str">
        <f t="shared" si="0"/>
        <v>Above</v>
      </c>
    </row>
    <row r="8" spans="2:4" x14ac:dyDescent="0.25">
      <c r="B8" t="s">
        <v>6</v>
      </c>
      <c r="C8">
        <v>75</v>
      </c>
      <c r="D8" t="str">
        <f t="shared" si="0"/>
        <v>Below</v>
      </c>
    </row>
    <row r="9" spans="2:4" x14ac:dyDescent="0.25">
      <c r="B9" t="s">
        <v>7</v>
      </c>
      <c r="C9">
        <v>60</v>
      </c>
      <c r="D9" t="str">
        <f t="shared" si="0"/>
        <v>Below</v>
      </c>
    </row>
    <row r="10" spans="2:4" x14ac:dyDescent="0.25">
      <c r="B10" t="s">
        <v>8</v>
      </c>
      <c r="C10">
        <v>95</v>
      </c>
      <c r="D10" t="str">
        <f t="shared" si="0"/>
        <v>Above</v>
      </c>
    </row>
    <row r="11" spans="2:4" x14ac:dyDescent="0.25">
      <c r="B11" t="s">
        <v>9</v>
      </c>
      <c r="C11">
        <v>80</v>
      </c>
      <c r="D11" t="str">
        <f t="shared" si="0"/>
        <v>Below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D24-1BD9-4AE0-A717-AE9A97C52780}">
  <dimension ref="A1:S31"/>
  <sheetViews>
    <sheetView tabSelected="1" topLeftCell="A7" workbookViewId="0">
      <selection activeCell="N16" sqref="N16"/>
    </sheetView>
  </sheetViews>
  <sheetFormatPr defaultRowHeight="15" x14ac:dyDescent="0.25"/>
  <cols>
    <col min="1" max="1" width="8.5703125" bestFit="1" customWidth="1"/>
    <col min="2" max="2" width="8.42578125" bestFit="1" customWidth="1"/>
    <col min="3" max="3" width="8.85546875" bestFit="1" customWidth="1"/>
    <col min="4" max="4" width="7.28515625" bestFit="1" customWidth="1"/>
    <col min="5" max="5" width="8.140625" bestFit="1" customWidth="1"/>
    <col min="6" max="6" width="8.7109375" bestFit="1" customWidth="1"/>
    <col min="7" max="7" width="6" bestFit="1" customWidth="1"/>
    <col min="8" max="8" width="8.85546875" bestFit="1" customWidth="1"/>
    <col min="9" max="9" width="9" bestFit="1" customWidth="1"/>
    <col min="10" max="10" width="8.5703125" bestFit="1" customWidth="1"/>
    <col min="11" max="11" width="11.5703125" style="7" bestFit="1" customWidth="1"/>
    <col min="12" max="12" width="11.5703125" style="7" customWidth="1"/>
    <col min="13" max="13" width="47.28515625" bestFit="1" customWidth="1"/>
    <col min="14" max="14" width="12" style="7" bestFit="1" customWidth="1"/>
    <col min="16" max="16" width="11.5703125" bestFit="1" customWidth="1"/>
  </cols>
  <sheetData>
    <row r="1" spans="1:17" ht="3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3" t="s">
        <v>15</v>
      </c>
      <c r="G1" s="3" t="s">
        <v>16</v>
      </c>
      <c r="H1" s="1" t="s">
        <v>17</v>
      </c>
      <c r="I1" s="3" t="s">
        <v>18</v>
      </c>
      <c r="J1" s="1" t="s">
        <v>2</v>
      </c>
      <c r="K1" s="6" t="s">
        <v>60</v>
      </c>
      <c r="L1" s="6" t="s">
        <v>64</v>
      </c>
      <c r="M1" t="s">
        <v>52</v>
      </c>
      <c r="N1" s="7">
        <f>COUNTA(A2:A16)</f>
        <v>15</v>
      </c>
    </row>
    <row r="2" spans="1:17" ht="30" x14ac:dyDescent="0.25">
      <c r="A2" s="4" t="s">
        <v>44</v>
      </c>
      <c r="B2" s="5">
        <v>46248</v>
      </c>
      <c r="C2" s="4" t="s">
        <v>31</v>
      </c>
      <c r="D2" s="4" t="s">
        <v>32</v>
      </c>
      <c r="E2" s="4" t="s">
        <v>22</v>
      </c>
      <c r="F2" s="2">
        <v>3</v>
      </c>
      <c r="G2" s="2">
        <v>65000</v>
      </c>
      <c r="H2" s="4" t="s">
        <v>39</v>
      </c>
      <c r="I2" s="2">
        <v>4</v>
      </c>
      <c r="J2" s="4" t="s">
        <v>24</v>
      </c>
      <c r="K2" s="7">
        <f>G2*F2</f>
        <v>195000</v>
      </c>
      <c r="L2" s="7" t="str" cm="1">
        <f t="array" ref="L2">_xlfn.IFS(K2&gt;=100000,"Excellent",K2&gt;=50000,"Good",K2&gt;=20000,"Average",K2&lt;20000,"Low")</f>
        <v>Excellent</v>
      </c>
      <c r="M2" t="s">
        <v>53</v>
      </c>
      <c r="N2" s="7">
        <f>SUM(F2:F16)</f>
        <v>134</v>
      </c>
    </row>
    <row r="3" spans="1:17" ht="30" x14ac:dyDescent="0.25">
      <c r="A3" s="4" t="s">
        <v>19</v>
      </c>
      <c r="B3" s="5">
        <v>46246</v>
      </c>
      <c r="C3" s="4" t="s">
        <v>20</v>
      </c>
      <c r="D3" s="4" t="s">
        <v>21</v>
      </c>
      <c r="E3" s="4" t="s">
        <v>22</v>
      </c>
      <c r="F3" s="2">
        <v>2</v>
      </c>
      <c r="G3" s="2">
        <v>65000</v>
      </c>
      <c r="H3" s="4" t="s">
        <v>23</v>
      </c>
      <c r="I3" s="2">
        <v>5</v>
      </c>
      <c r="J3" s="4" t="s">
        <v>24</v>
      </c>
      <c r="K3" s="7">
        <f>G3*F3</f>
        <v>130000</v>
      </c>
      <c r="L3" s="7" t="str" cm="1">
        <f t="array" ref="L3">_xlfn.IFS(K3&gt;=100000,"Excellent",K3&gt;=50000,"Good",K3&gt;=20000,"Average",K3&lt;20000,"Low")</f>
        <v>Excellent</v>
      </c>
      <c r="M3" t="s">
        <v>54</v>
      </c>
      <c r="N3" s="7">
        <f>AVERAGE(I2:I16)</f>
        <v>3.8666666666666667</v>
      </c>
    </row>
    <row r="4" spans="1:17" ht="30" x14ac:dyDescent="0.25">
      <c r="A4" s="4" t="s">
        <v>47</v>
      </c>
      <c r="B4" s="5">
        <v>46250</v>
      </c>
      <c r="C4" s="4" t="s">
        <v>36</v>
      </c>
      <c r="D4" s="4" t="s">
        <v>37</v>
      </c>
      <c r="E4" s="4" t="s">
        <v>22</v>
      </c>
      <c r="F4" s="2">
        <v>2</v>
      </c>
      <c r="G4" s="2">
        <v>65000</v>
      </c>
      <c r="H4" s="4" t="s">
        <v>39</v>
      </c>
      <c r="I4" s="2">
        <v>4</v>
      </c>
      <c r="J4" s="4" t="s">
        <v>24</v>
      </c>
      <c r="K4" s="7">
        <f>G4*F4</f>
        <v>130000</v>
      </c>
      <c r="L4" s="7" t="str" cm="1">
        <f t="array" ref="L4">_xlfn.IFS(K4&gt;=100000,"Excellent",K4&gt;=50000,"Good",K4&gt;=20000,"Average",K4&lt;20000,"Low")</f>
        <v>Excellent</v>
      </c>
      <c r="M4" t="s">
        <v>55</v>
      </c>
      <c r="N4" s="7">
        <f>MAX(F2:F16)</f>
        <v>25</v>
      </c>
    </row>
    <row r="5" spans="1:17" ht="30" x14ac:dyDescent="0.25">
      <c r="A5" s="4" t="s">
        <v>48</v>
      </c>
      <c r="B5" s="5">
        <v>46247</v>
      </c>
      <c r="C5" s="4" t="s">
        <v>31</v>
      </c>
      <c r="D5" s="4" t="s">
        <v>32</v>
      </c>
      <c r="E5" s="4" t="s">
        <v>38</v>
      </c>
      <c r="F5" s="2">
        <v>5</v>
      </c>
      <c r="G5" s="2">
        <v>18500</v>
      </c>
      <c r="H5" s="4" t="s">
        <v>29</v>
      </c>
      <c r="I5" s="2">
        <v>2</v>
      </c>
      <c r="J5" s="4" t="s">
        <v>41</v>
      </c>
      <c r="K5" s="7">
        <f>G5*F5</f>
        <v>92500</v>
      </c>
      <c r="L5" s="7" t="str" cm="1">
        <f t="array" ref="L5">_xlfn.IFS(K5&gt;=100000,"Excellent",K5&gt;=50000,"Good",K5&gt;=20000,"Average",K5&lt;20000,"Low")</f>
        <v>Good</v>
      </c>
      <c r="M5" t="s">
        <v>56</v>
      </c>
      <c r="N5" s="7">
        <f>MIN(G2:G16)</f>
        <v>1200</v>
      </c>
    </row>
    <row r="6" spans="1:17" ht="30" x14ac:dyDescent="0.25">
      <c r="A6" s="4" t="s">
        <v>35</v>
      </c>
      <c r="B6" s="5">
        <v>46241</v>
      </c>
      <c r="C6" s="4" t="s">
        <v>36</v>
      </c>
      <c r="D6" s="4" t="s">
        <v>37</v>
      </c>
      <c r="E6" s="4" t="s">
        <v>38</v>
      </c>
      <c r="F6" s="2">
        <v>4</v>
      </c>
      <c r="G6" s="2">
        <v>18500</v>
      </c>
      <c r="H6" s="4" t="s">
        <v>39</v>
      </c>
      <c r="I6" s="2">
        <v>5</v>
      </c>
      <c r="J6" s="4" t="s">
        <v>24</v>
      </c>
      <c r="K6" s="7">
        <f>G6*F6</f>
        <v>74000</v>
      </c>
      <c r="L6" s="7" t="str" cm="1">
        <f t="array" ref="L6">_xlfn.IFS(K6&gt;=100000,"Excellent",K6&gt;=50000,"Good",K6&gt;=20000,"Average",K6&lt;20000,"Low")</f>
        <v>Good</v>
      </c>
      <c r="M6" t="s">
        <v>57</v>
      </c>
      <c r="N6" s="7">
        <f>COUNTIF(J2:J16,"Completed")</f>
        <v>10</v>
      </c>
    </row>
    <row r="7" spans="1:17" ht="30" x14ac:dyDescent="0.25">
      <c r="A7" s="4" t="s">
        <v>40</v>
      </c>
      <c r="B7" s="5">
        <v>46249</v>
      </c>
      <c r="C7" s="4" t="s">
        <v>26</v>
      </c>
      <c r="D7" s="4" t="s">
        <v>27</v>
      </c>
      <c r="E7" s="4" t="s">
        <v>22</v>
      </c>
      <c r="F7" s="2">
        <v>1</v>
      </c>
      <c r="G7" s="2">
        <v>65000</v>
      </c>
      <c r="H7" s="4" t="s">
        <v>23</v>
      </c>
      <c r="I7" s="2">
        <v>2</v>
      </c>
      <c r="J7" s="4" t="s">
        <v>41</v>
      </c>
      <c r="K7" s="7">
        <f>G7*F7</f>
        <v>65000</v>
      </c>
      <c r="L7" s="7" t="str" cm="1">
        <f t="array" ref="L7">_xlfn.IFS(K7&gt;=100000,"Excellent",K7&gt;=50000,"Good",K7&gt;=20000,"Average",K7&lt;20000,"Low")</f>
        <v>Good</v>
      </c>
      <c r="M7" t="s">
        <v>58</v>
      </c>
      <c r="N7" s="7">
        <f>COUNTIF(J2:J16,"Cancelled")</f>
        <v>2</v>
      </c>
    </row>
    <row r="8" spans="1:17" x14ac:dyDescent="0.25">
      <c r="A8" s="4" t="s">
        <v>45</v>
      </c>
      <c r="B8" s="5">
        <v>46244</v>
      </c>
      <c r="C8" s="4" t="s">
        <v>26</v>
      </c>
      <c r="D8" s="4" t="s">
        <v>27</v>
      </c>
      <c r="E8" s="4" t="s">
        <v>38</v>
      </c>
      <c r="F8" s="2">
        <v>2</v>
      </c>
      <c r="G8" s="2">
        <v>18500</v>
      </c>
      <c r="H8" s="4" t="s">
        <v>29</v>
      </c>
      <c r="I8" s="2">
        <v>3</v>
      </c>
      <c r="J8" s="4" t="s">
        <v>34</v>
      </c>
      <c r="K8" s="7">
        <f>G8*F8</f>
        <v>37000</v>
      </c>
      <c r="L8" s="7" t="str" cm="1">
        <f t="array" ref="L8">_xlfn.IFS(K8&gt;=100000,"Excellent",K8&gt;=50000,"Good",K8&gt;=20000,"Average",K8&lt;20000,"Low")</f>
        <v>Average</v>
      </c>
      <c r="M8" t="s">
        <v>59</v>
      </c>
      <c r="N8" s="7">
        <f>COUNTIF(J2:J16,"Pending")</f>
        <v>3</v>
      </c>
    </row>
    <row r="9" spans="1:17" ht="30" x14ac:dyDescent="0.25">
      <c r="A9" s="4" t="s">
        <v>49</v>
      </c>
      <c r="B9" s="5">
        <v>46251</v>
      </c>
      <c r="C9" s="4" t="s">
        <v>26</v>
      </c>
      <c r="D9" s="4" t="s">
        <v>27</v>
      </c>
      <c r="E9" s="4" t="s">
        <v>33</v>
      </c>
      <c r="F9" s="2">
        <v>12</v>
      </c>
      <c r="G9" s="2">
        <v>2500</v>
      </c>
      <c r="H9" s="4" t="s">
        <v>23</v>
      </c>
      <c r="I9" s="2">
        <v>4</v>
      </c>
      <c r="J9" s="4" t="s">
        <v>24</v>
      </c>
      <c r="K9" s="7">
        <f>G9*F9</f>
        <v>30000</v>
      </c>
      <c r="L9" s="7" t="str" cm="1">
        <f t="array" ref="L9">_xlfn.IFS(K9&gt;=100000,"Excellent",K9&gt;=50000,"Good",K9&gt;=20000,"Average",K9&lt;20000,"Low")</f>
        <v>Average</v>
      </c>
      <c r="M9" t="s">
        <v>61</v>
      </c>
      <c r="N9" s="7">
        <f>SUM(K2:K16)</f>
        <v>909600</v>
      </c>
    </row>
    <row r="10" spans="1:17" ht="30" x14ac:dyDescent="0.25">
      <c r="A10" s="4" t="s">
        <v>46</v>
      </c>
      <c r="B10" s="5">
        <v>46253</v>
      </c>
      <c r="C10" s="4" t="s">
        <v>20</v>
      </c>
      <c r="D10" s="4" t="s">
        <v>21</v>
      </c>
      <c r="E10" s="4" t="s">
        <v>28</v>
      </c>
      <c r="F10" s="2">
        <v>25</v>
      </c>
      <c r="G10" s="2">
        <v>1200</v>
      </c>
      <c r="H10" s="4" t="s">
        <v>23</v>
      </c>
      <c r="I10" s="2">
        <v>5</v>
      </c>
      <c r="J10" s="4" t="s">
        <v>24</v>
      </c>
      <c r="K10" s="7">
        <f>G10*F10</f>
        <v>30000</v>
      </c>
      <c r="L10" s="7" t="str" cm="1">
        <f t="array" ref="L10">_xlfn.IFS(K10&gt;=100000,"Excellent",K10&gt;=50000,"Good",K10&gt;=20000,"Average",K10&lt;20000,"Low")</f>
        <v>Average</v>
      </c>
      <c r="M10" t="s">
        <v>62</v>
      </c>
      <c r="N10" s="7" t="str">
        <f>_xlfn.XLOOKUP(MAX(K2:K16),K2:K16,A2:A16)</f>
        <v>ORD107</v>
      </c>
      <c r="O10" t="str">
        <f>INDEX(A2:A16,MATCH(MAX(K2:K16),K2:K16,0))</f>
        <v>ORD107</v>
      </c>
      <c r="P10" s="8">
        <f>MAX(K2:K16)</f>
        <v>195000</v>
      </c>
      <c r="Q10" t="str">
        <f>INDEX(E2:E16,MATCH(MAX(K2:K16),K2:K16,0))</f>
        <v>Laptop</v>
      </c>
    </row>
    <row r="11" spans="1:17" ht="30" x14ac:dyDescent="0.25">
      <c r="A11" s="4" t="s">
        <v>42</v>
      </c>
      <c r="B11" s="5">
        <v>46240</v>
      </c>
      <c r="C11" s="4" t="s">
        <v>20</v>
      </c>
      <c r="D11" s="4" t="s">
        <v>21</v>
      </c>
      <c r="E11" s="4" t="s">
        <v>33</v>
      </c>
      <c r="F11" s="2">
        <v>10</v>
      </c>
      <c r="G11" s="2">
        <v>2500</v>
      </c>
      <c r="H11" s="4" t="s">
        <v>29</v>
      </c>
      <c r="I11" s="2">
        <v>4</v>
      </c>
      <c r="J11" s="4" t="s">
        <v>24</v>
      </c>
      <c r="K11" s="7">
        <f>G11*F11</f>
        <v>25000</v>
      </c>
      <c r="L11" s="7" t="str" cm="1">
        <f t="array" ref="L11">_xlfn.IFS(K11&gt;=100000,"Excellent",K11&gt;=50000,"Good",K11&gt;=20000,"Average",K11&lt;20000,"Low")</f>
        <v>Average</v>
      </c>
      <c r="M11" t="s">
        <v>63</v>
      </c>
      <c r="N11" s="7" t="str">
        <f>_xlfn.XLOOKUP(MIN(K2:K16),K2:K16,A2:A16)</f>
        <v>ORD113</v>
      </c>
      <c r="O11" t="str">
        <f>INDEX(A2:A16,MATCH(MIN(K2:K16),K2:K16,0))</f>
        <v>ORD113</v>
      </c>
    </row>
    <row r="12" spans="1:17" ht="30" x14ac:dyDescent="0.25">
      <c r="A12" s="4" t="s">
        <v>43</v>
      </c>
      <c r="B12" s="5">
        <v>46254</v>
      </c>
      <c r="C12" s="4" t="s">
        <v>36</v>
      </c>
      <c r="D12" s="4" t="s">
        <v>37</v>
      </c>
      <c r="E12" s="4" t="s">
        <v>28</v>
      </c>
      <c r="F12" s="2">
        <v>20</v>
      </c>
      <c r="G12" s="2">
        <v>1200</v>
      </c>
      <c r="H12" s="4" t="s">
        <v>23</v>
      </c>
      <c r="I12" s="2">
        <v>5</v>
      </c>
      <c r="J12" s="4" t="s">
        <v>24</v>
      </c>
      <c r="K12" s="7">
        <f>G12*F12</f>
        <v>24000</v>
      </c>
      <c r="L12" s="7" t="str" cm="1">
        <f t="array" ref="L12">_xlfn.IFS(K12&gt;=100000,"Excellent",K12&gt;=50000,"Good",K12&gt;=20000,"Average",K12&lt;20000,"Low")</f>
        <v>Average</v>
      </c>
      <c r="M12" t="s">
        <v>65</v>
      </c>
      <c r="N12" s="7">
        <f>COUNTIF(L2:L16,"Excellent")</f>
        <v>3</v>
      </c>
    </row>
    <row r="13" spans="1:17" x14ac:dyDescent="0.25">
      <c r="A13" s="4" t="s">
        <v>50</v>
      </c>
      <c r="B13" s="5">
        <v>46254</v>
      </c>
      <c r="C13" s="4" t="s">
        <v>31</v>
      </c>
      <c r="D13" s="4" t="s">
        <v>32</v>
      </c>
      <c r="E13" s="4" t="s">
        <v>28</v>
      </c>
      <c r="F13" s="2">
        <v>18</v>
      </c>
      <c r="G13" s="2">
        <v>1200</v>
      </c>
      <c r="H13" s="4" t="s">
        <v>29</v>
      </c>
      <c r="I13" s="2">
        <v>3</v>
      </c>
      <c r="J13" s="4" t="s">
        <v>34</v>
      </c>
      <c r="K13" s="7">
        <f>G13*F13</f>
        <v>21600</v>
      </c>
      <c r="L13" s="7" t="str" cm="1">
        <f t="array" ref="L13">_xlfn.IFS(K13&gt;=100000,"Excellent",K13&gt;=50000,"Good",K13&gt;=20000,"Average",K13&lt;20000,"Low")</f>
        <v>Average</v>
      </c>
      <c r="M13" t="s">
        <v>66</v>
      </c>
      <c r="N13" s="7">
        <f>COUNTIF(L2:L16,"Low")</f>
        <v>2</v>
      </c>
    </row>
    <row r="14" spans="1:17" ht="30" x14ac:dyDescent="0.25">
      <c r="A14" s="4" t="s">
        <v>30</v>
      </c>
      <c r="B14" s="5">
        <v>46252</v>
      </c>
      <c r="C14" s="4" t="s">
        <v>31</v>
      </c>
      <c r="D14" s="4" t="s">
        <v>32</v>
      </c>
      <c r="E14" s="4" t="s">
        <v>33</v>
      </c>
      <c r="F14" s="2">
        <v>8</v>
      </c>
      <c r="G14" s="2">
        <v>2500</v>
      </c>
      <c r="H14" s="4" t="s">
        <v>23</v>
      </c>
      <c r="I14" s="2">
        <v>3</v>
      </c>
      <c r="J14" s="4" t="s">
        <v>34</v>
      </c>
      <c r="K14" s="7">
        <f>G14*F14</f>
        <v>20000</v>
      </c>
      <c r="L14" s="7" t="str" cm="1">
        <f t="array" ref="L14">_xlfn.IFS(K14&gt;=100000,"Excellent",K14&gt;=50000,"Good",K14&gt;=20000,"Average",K14&lt;20000,"Low")</f>
        <v>Average</v>
      </c>
      <c r="M14" t="s">
        <v>67</v>
      </c>
      <c r="N14" s="7">
        <f>SUMIF(C2:C16,"John",K2:K16)</f>
        <v>150000</v>
      </c>
    </row>
    <row r="15" spans="1:17" ht="30" x14ac:dyDescent="0.25">
      <c r="A15" s="4" t="s">
        <v>25</v>
      </c>
      <c r="B15" s="5">
        <v>46239</v>
      </c>
      <c r="C15" s="4" t="s">
        <v>26</v>
      </c>
      <c r="D15" s="4" t="s">
        <v>27</v>
      </c>
      <c r="E15" s="4" t="s">
        <v>28</v>
      </c>
      <c r="F15" s="2">
        <v>15</v>
      </c>
      <c r="G15" s="2">
        <v>1200</v>
      </c>
      <c r="H15" s="4" t="s">
        <v>29</v>
      </c>
      <c r="I15" s="2">
        <v>4</v>
      </c>
      <c r="J15" s="4" t="s">
        <v>24</v>
      </c>
      <c r="K15" s="7">
        <f>G15*F15</f>
        <v>18000</v>
      </c>
      <c r="L15" s="7" t="str" cm="1">
        <f t="array" ref="L15">_xlfn.IFS(K15&gt;=100000,"Excellent",K15&gt;=50000,"Good",K15&gt;=20000,"Average",K15&lt;20000,"Low")</f>
        <v>Low</v>
      </c>
      <c r="M15" t="s">
        <v>68</v>
      </c>
      <c r="N15" s="7">
        <f>SUMIF(C2:C16,"Mary",K2:K16)</f>
        <v>185000</v>
      </c>
    </row>
    <row r="16" spans="1:17" ht="30" x14ac:dyDescent="0.25">
      <c r="A16" s="4" t="s">
        <v>51</v>
      </c>
      <c r="B16" s="5">
        <v>46253</v>
      </c>
      <c r="C16" s="4" t="s">
        <v>36</v>
      </c>
      <c r="D16" s="4" t="s">
        <v>37</v>
      </c>
      <c r="E16" s="4" t="s">
        <v>33</v>
      </c>
      <c r="F16" s="2">
        <v>7</v>
      </c>
      <c r="G16" s="2">
        <v>2500</v>
      </c>
      <c r="H16" s="4" t="s">
        <v>23</v>
      </c>
      <c r="I16" s="2">
        <v>5</v>
      </c>
      <c r="J16" s="4" t="s">
        <v>24</v>
      </c>
      <c r="K16" s="7">
        <f>G16*F16</f>
        <v>17500</v>
      </c>
      <c r="L16" s="7" t="str" cm="1">
        <f t="array" ref="L16">_xlfn.IFS(K16&gt;=100000,"Excellent",K16&gt;=50000,"Good",K16&gt;=20000,"Average",K16&lt;20000,"Low")</f>
        <v>Low</v>
      </c>
      <c r="M16" t="s">
        <v>69</v>
      </c>
      <c r="N16" s="7">
        <f>SUMIF(C2:C16,"Jane",K2:K16)</f>
        <v>245500</v>
      </c>
    </row>
    <row r="17" spans="11:19" x14ac:dyDescent="0.25">
      <c r="K17" s="7">
        <f>SUM(K2:K16)</f>
        <v>909600</v>
      </c>
      <c r="M17" t="s">
        <v>70</v>
      </c>
      <c r="N17" s="7">
        <f>SUMIF(C2:C16,"Peter",K2:K16)</f>
        <v>329100</v>
      </c>
    </row>
    <row r="18" spans="11:19" x14ac:dyDescent="0.25">
      <c r="M18" t="s">
        <v>71</v>
      </c>
      <c r="N18" s="7">
        <f>COUNTIF(C2:C16,"John")</f>
        <v>4</v>
      </c>
    </row>
    <row r="19" spans="11:19" x14ac:dyDescent="0.25">
      <c r="M19" t="s">
        <v>72</v>
      </c>
      <c r="N19" s="7">
        <f>COUNTIF(H2:H16,"M-pesa")</f>
        <v>7</v>
      </c>
    </row>
    <row r="20" spans="11:19" x14ac:dyDescent="0.25">
      <c r="M20" t="s">
        <v>73</v>
      </c>
      <c r="N20" s="7">
        <f>SUMIFS(K2:K16,D2:D16,"East",C2:C16,"John")</f>
        <v>150000</v>
      </c>
      <c r="S20">
        <v>135</v>
      </c>
    </row>
    <row r="21" spans="11:19" x14ac:dyDescent="0.25">
      <c r="M21" t="s">
        <v>74</v>
      </c>
      <c r="N21" s="7">
        <f>SUMIFS(K2:K16,J2:J16,"Completed",C2:C16,"John")</f>
        <v>48000</v>
      </c>
    </row>
    <row r="22" spans="11:19" x14ac:dyDescent="0.25">
      <c r="M22" t="s">
        <v>75</v>
      </c>
      <c r="N22" s="7">
        <f>SUMIFS(K2:K16,J2:J16,"Completed",H2:H16,"M-pesa")</f>
        <v>231500</v>
      </c>
    </row>
    <row r="23" spans="11:19" x14ac:dyDescent="0.25">
      <c r="M23" t="s">
        <v>76</v>
      </c>
      <c r="N23" s="7">
        <f>SUMIF(E2:E16,"Laptop",K2:K16)</f>
        <v>520000</v>
      </c>
    </row>
    <row r="24" spans="11:19" x14ac:dyDescent="0.25">
      <c r="M24" t="s">
        <v>77</v>
      </c>
      <c r="N24" s="7">
        <f>SUMIFS(K2:K16,J2:J16,"Completed",E2:E16,"Laptop")</f>
        <v>455000</v>
      </c>
    </row>
    <row r="25" spans="11:19" x14ac:dyDescent="0.25">
      <c r="M25" t="s">
        <v>78</v>
      </c>
    </row>
    <row r="26" spans="11:19" x14ac:dyDescent="0.25">
      <c r="M26" s="9" t="s">
        <v>79</v>
      </c>
      <c r="N26" s="7">
        <v>10</v>
      </c>
    </row>
    <row r="27" spans="11:19" x14ac:dyDescent="0.25">
      <c r="M27" s="9" t="s">
        <v>80</v>
      </c>
      <c r="N27" s="7">
        <v>4</v>
      </c>
    </row>
    <row r="28" spans="11:19" x14ac:dyDescent="0.25">
      <c r="M28" t="s">
        <v>81</v>
      </c>
      <c r="N28" s="7" t="s">
        <v>36</v>
      </c>
    </row>
    <row r="29" spans="11:19" x14ac:dyDescent="0.25">
      <c r="M29" t="s">
        <v>82</v>
      </c>
      <c r="N29" s="10">
        <f>COUNTIF(J2:J16,"Completed")/COUNTA(J2:J16)</f>
        <v>0.66666666666666663</v>
      </c>
    </row>
    <row r="30" spans="11:19" x14ac:dyDescent="0.25">
      <c r="M30" t="s">
        <v>83</v>
      </c>
      <c r="N30" s="10">
        <f>COUNTIF(J2:J16,"Cancelled")/COUNTA(J2:J16)</f>
        <v>0.13333333333333333</v>
      </c>
    </row>
    <row r="31" spans="11:19" x14ac:dyDescent="0.25">
      <c r="M31" t="s">
        <v>84</v>
      </c>
      <c r="N31" s="10">
        <f>COUNTIF(J2:J16,"Pending")/COUNTA(J2:J16)</f>
        <v>0.2</v>
      </c>
    </row>
  </sheetData>
  <sortState xmlns:xlrd2="http://schemas.microsoft.com/office/spreadsheetml/2017/richdata2" ref="A2:L16">
    <sortCondition descending="1" ref="K2:K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Karanja</dc:creator>
  <cp:lastModifiedBy>John Karanja</cp:lastModifiedBy>
  <dcterms:created xsi:type="dcterms:W3CDTF">2026-08-20T18:41:52Z</dcterms:created>
  <dcterms:modified xsi:type="dcterms:W3CDTF">2026-08-20T20:17:08Z</dcterms:modified>
</cp:coreProperties>
</file>